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FACHURCH\OneDrive\Documents\"/>
    </mc:Choice>
  </mc:AlternateContent>
  <xr:revisionPtr revIDLastSave="0" documentId="13_ncr:2001_{ECF70E51-C1F0-412E-8F20-537D03E0973B}" xr6:coauthVersionLast="47" xr6:coauthVersionMax="47" xr10:uidLastSave="{00000000-0000-0000-0000-000000000000}"/>
  <bookViews>
    <workbookView xWindow="20370" yWindow="-120" windowWidth="29040" windowHeight="15720" xr2:uid="{A1F82FF3-E33E-4E1F-90A2-BC36C350BFCB}"/>
  </bookViews>
  <sheets>
    <sheet name="Sheet1" sheetId="8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1" i="8" l="1"/>
  <c r="F11" i="8"/>
  <c r="F40" i="8"/>
  <c r="F41" i="8"/>
  <c r="F42" i="8"/>
  <c r="F43" i="8"/>
  <c r="F39" i="8"/>
  <c r="F38" i="8"/>
  <c r="F44" i="8" s="1"/>
  <c r="D39" i="8"/>
  <c r="D40" i="8"/>
  <c r="D41" i="8"/>
  <c r="D42" i="8"/>
  <c r="D43" i="8"/>
  <c r="D44" i="8"/>
  <c r="D38" i="8"/>
  <c r="D32" i="8"/>
  <c r="D31" i="8"/>
  <c r="D30" i="8"/>
  <c r="D21" i="8"/>
  <c r="D20" i="8"/>
  <c r="D18" i="8"/>
  <c r="D19" i="8"/>
  <c r="D22" i="8"/>
  <c r="D17" i="8"/>
</calcChain>
</file>

<file path=xl/sharedStrings.xml><?xml version="1.0" encoding="utf-8"?>
<sst xmlns="http://schemas.openxmlformats.org/spreadsheetml/2006/main" count="53" uniqueCount="32">
  <si>
    <t>TikTok Ads</t>
  </si>
  <si>
    <t>Influencer</t>
  </si>
  <si>
    <t>Instagram Ads</t>
  </si>
  <si>
    <t>Google Ads</t>
  </si>
  <si>
    <t>Facebook Ads</t>
  </si>
  <si>
    <t>Email Marketing</t>
  </si>
  <si>
    <t>ROAS</t>
  </si>
  <si>
    <t>Platform</t>
  </si>
  <si>
    <t>Weight</t>
  </si>
  <si>
    <t>Total</t>
  </si>
  <si>
    <t>Total_spend</t>
  </si>
  <si>
    <t>Spend_pct</t>
  </si>
  <si>
    <t>Total_revenue</t>
  </si>
  <si>
    <t>Avg_roas</t>
  </si>
  <si>
    <t>402,805 distributed based on the budget spend percent</t>
  </si>
  <si>
    <t>Total spend</t>
  </si>
  <si>
    <t>The total ROAS for the three platform  (24+23+16) = 63</t>
  </si>
  <si>
    <t>24/63 = 0.38</t>
  </si>
  <si>
    <t>23/63 = 0.37</t>
  </si>
  <si>
    <t>16/63 =0.25</t>
  </si>
  <si>
    <t>Amount Added</t>
  </si>
  <si>
    <t>New Amount allocated</t>
  </si>
  <si>
    <t>Spend pct</t>
  </si>
  <si>
    <t>Revenue generated</t>
  </si>
  <si>
    <t>45798.93+38266.38= $84065.31</t>
  </si>
  <si>
    <t>78144.17+37259.37=$115403.54</t>
  </si>
  <si>
    <t>52122.97+25175=$77298.22</t>
  </si>
  <si>
    <t>Final Recommendation</t>
  </si>
  <si>
    <t>BrigthCard performance without Budget cut</t>
  </si>
  <si>
    <t>The $100701 will be reallocated to the high performing platforms ( TikTok, Influencer, Instagram)</t>
  </si>
  <si>
    <t>20% cut of the budget = $100701. So the new total spend =( $503,5606-100701)= $402,805</t>
  </si>
  <si>
    <t>The Weight of each platform should be multiply by the 100701 to find the reallocated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</si>
</sst>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&quot;$&quot;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0" xfId="0" applyNumberFormat="1"/>
    <xf numFmtId="0" fontId="0" fillId="0" borderId="1" xfId="0" applyBorder="1"/>
    <xf numFmtId="2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9" fontId="0" fillId="0" borderId="1" xfId="2" applyFont="1" applyBorder="1" applyAlignment="1">
      <alignment horizontal="center"/>
    </xf>
    <xf numFmtId="44" fontId="0" fillId="0" borderId="1" xfId="1" applyFont="1" applyBorder="1" applyAlignment="1">
      <alignment horizontal="center"/>
    </xf>
    <xf numFmtId="44" fontId="0" fillId="0" borderId="1" xfId="0" applyNumberFormat="1" applyBorder="1"/>
    <xf numFmtId="10" fontId="0" fillId="0" borderId="1" xfId="2" applyNumberFormat="1" applyFont="1" applyBorder="1" applyAlignment="1">
      <alignment horizontal="center"/>
    </xf>
    <xf numFmtId="44" fontId="0" fillId="0" borderId="0" xfId="0" applyNumberFormat="1" applyBorder="1"/>
    <xf numFmtId="0" fontId="2" fillId="0" borderId="0" xfId="0" applyFont="1"/>
    <xf numFmtId="0" fontId="2" fillId="0" borderId="0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0C1E3-EB9A-4A6C-A671-95358E115265}">
  <dimension ref="A2:G44"/>
  <sheetViews>
    <sheetView tabSelected="1" workbookViewId="0">
      <selection activeCell="L27" sqref="L27"/>
    </sheetView>
  </sheetViews>
  <sheetFormatPr defaultRowHeight="15" x14ac:dyDescent="0.25"/>
  <cols>
    <col min="2" max="2" width="15.28515625" bestFit="1" customWidth="1"/>
    <col min="3" max="3" width="17.140625" customWidth="1"/>
    <col min="4" max="4" width="16.140625" customWidth="1"/>
    <col min="5" max="5" width="29.7109375" customWidth="1"/>
    <col min="6" max="6" width="17.7109375" bestFit="1" customWidth="1"/>
    <col min="7" max="8" width="11.140625" bestFit="1" customWidth="1"/>
    <col min="9" max="9" width="10.140625" bestFit="1" customWidth="1"/>
    <col min="12" max="12" width="15.28515625" bestFit="1" customWidth="1"/>
    <col min="13" max="16" width="15.7109375" customWidth="1"/>
    <col min="17" max="17" width="17.7109375" bestFit="1" customWidth="1"/>
    <col min="18" max="18" width="15.7109375" customWidth="1"/>
  </cols>
  <sheetData>
    <row r="2" spans="1:6" x14ac:dyDescent="0.25">
      <c r="A2" s="14" t="s">
        <v>28</v>
      </c>
      <c r="B2" s="14"/>
      <c r="C2" s="14"/>
    </row>
    <row r="4" spans="1:6" x14ac:dyDescent="0.25">
      <c r="B4" s="1" t="s">
        <v>7</v>
      </c>
      <c r="C4" s="1" t="s">
        <v>10</v>
      </c>
      <c r="D4" s="1" t="s">
        <v>11</v>
      </c>
      <c r="E4" s="1" t="s">
        <v>13</v>
      </c>
      <c r="F4" s="1" t="s">
        <v>12</v>
      </c>
    </row>
    <row r="5" spans="1:6" x14ac:dyDescent="0.25">
      <c r="B5" s="1" t="s">
        <v>0</v>
      </c>
      <c r="C5" s="4">
        <v>57229.22</v>
      </c>
      <c r="D5" s="2">
        <v>0.1137</v>
      </c>
      <c r="E5" s="7">
        <v>24.435416</v>
      </c>
      <c r="F5" s="10">
        <v>1374627.17</v>
      </c>
    </row>
    <row r="6" spans="1:6" x14ac:dyDescent="0.25">
      <c r="B6" s="1" t="s">
        <v>1</v>
      </c>
      <c r="C6" s="4">
        <v>97663.12</v>
      </c>
      <c r="D6" s="2">
        <v>0.19400000000000001</v>
      </c>
      <c r="E6" s="7">
        <v>23.446666</v>
      </c>
      <c r="F6" s="10">
        <v>2216974.27</v>
      </c>
    </row>
    <row r="7" spans="1:6" x14ac:dyDescent="0.25">
      <c r="B7" s="1" t="s">
        <v>2</v>
      </c>
      <c r="C7" s="4">
        <v>65154.02</v>
      </c>
      <c r="D7" s="2">
        <v>0.12939999999999999</v>
      </c>
      <c r="E7" s="7">
        <v>16.989999999999998</v>
      </c>
      <c r="F7" s="10">
        <v>1024639.06</v>
      </c>
    </row>
    <row r="8" spans="1:6" x14ac:dyDescent="0.25">
      <c r="B8" s="1" t="s">
        <v>3</v>
      </c>
      <c r="C8" s="4">
        <v>152546.48000000001</v>
      </c>
      <c r="D8" s="2">
        <v>0.30299999999999999</v>
      </c>
      <c r="E8" s="7">
        <v>13.688750000000001</v>
      </c>
      <c r="F8" s="10">
        <v>2194120.8199999998</v>
      </c>
    </row>
    <row r="9" spans="1:6" x14ac:dyDescent="0.25">
      <c r="B9" s="1" t="s">
        <v>4</v>
      </c>
      <c r="C9" s="4">
        <v>106451.93</v>
      </c>
      <c r="D9" s="2">
        <v>0.2114</v>
      </c>
      <c r="E9" s="7">
        <v>11.254583</v>
      </c>
      <c r="F9" s="10">
        <v>1218572.43</v>
      </c>
    </row>
    <row r="10" spans="1:6" x14ac:dyDescent="0.25">
      <c r="B10" s="1" t="s">
        <v>5</v>
      </c>
      <c r="C10" s="4">
        <v>24461.37</v>
      </c>
      <c r="D10" s="2">
        <v>4.8599999999999997E-2</v>
      </c>
      <c r="E10" s="7">
        <v>5.4054159999999998</v>
      </c>
      <c r="F10" s="10">
        <v>117681.45</v>
      </c>
    </row>
    <row r="11" spans="1:6" x14ac:dyDescent="0.25">
      <c r="B11" s="8" t="s">
        <v>9</v>
      </c>
      <c r="C11" s="4">
        <f>SUM(C5:C10)</f>
        <v>503506.13999999996</v>
      </c>
      <c r="D11" s="6"/>
      <c r="E11" s="6"/>
      <c r="F11" s="11">
        <f>SUM(F5:F10)</f>
        <v>8146615.2000000002</v>
      </c>
    </row>
    <row r="12" spans="1:6" x14ac:dyDescent="0.25">
      <c r="F12" s="13"/>
    </row>
    <row r="13" spans="1:6" x14ac:dyDescent="0.25">
      <c r="A13" s="14" t="s">
        <v>30</v>
      </c>
      <c r="B13" s="14"/>
      <c r="C13" s="14"/>
      <c r="F13" s="13"/>
    </row>
    <row r="14" spans="1:6" x14ac:dyDescent="0.25">
      <c r="A14" s="14" t="s">
        <v>14</v>
      </c>
      <c r="B14" s="15"/>
      <c r="C14" s="14"/>
      <c r="D14" s="14"/>
    </row>
    <row r="16" spans="1:6" x14ac:dyDescent="0.25">
      <c r="B16" s="1" t="s">
        <v>7</v>
      </c>
      <c r="C16" s="1" t="s">
        <v>11</v>
      </c>
      <c r="D16" s="1" t="s">
        <v>15</v>
      </c>
    </row>
    <row r="17" spans="1:7" x14ac:dyDescent="0.25">
      <c r="B17" s="1" t="s">
        <v>0</v>
      </c>
      <c r="C17" s="2">
        <v>0.1137</v>
      </c>
      <c r="D17" s="4">
        <f>402805*C17</f>
        <v>45798.928500000002</v>
      </c>
    </row>
    <row r="18" spans="1:7" x14ac:dyDescent="0.25">
      <c r="B18" s="1" t="s">
        <v>1</v>
      </c>
      <c r="C18" s="2">
        <v>0.19400000000000001</v>
      </c>
      <c r="D18" s="4">
        <f t="shared" ref="D18:D22" si="0">402805*C18</f>
        <v>78144.17</v>
      </c>
    </row>
    <row r="19" spans="1:7" x14ac:dyDescent="0.25">
      <c r="B19" s="1" t="s">
        <v>2</v>
      </c>
      <c r="C19" s="2">
        <v>0.12939999999999999</v>
      </c>
      <c r="D19" s="4">
        <f t="shared" si="0"/>
        <v>52122.966999999997</v>
      </c>
    </row>
    <row r="20" spans="1:7" x14ac:dyDescent="0.25">
      <c r="B20" s="1" t="s">
        <v>3</v>
      </c>
      <c r="C20" s="2">
        <v>0.30299999999999999</v>
      </c>
      <c r="D20" s="4">
        <f>402805*C20</f>
        <v>122049.91499999999</v>
      </c>
    </row>
    <row r="21" spans="1:7" x14ac:dyDescent="0.25">
      <c r="B21" s="1" t="s">
        <v>4</v>
      </c>
      <c r="C21" s="2">
        <v>0.2114</v>
      </c>
      <c r="D21" s="4">
        <f>402805*C21</f>
        <v>85152.976999999999</v>
      </c>
    </row>
    <row r="22" spans="1:7" x14ac:dyDescent="0.25">
      <c r="B22" s="1" t="s">
        <v>5</v>
      </c>
      <c r="C22" s="2">
        <v>4.8599999999999997E-2</v>
      </c>
      <c r="D22" s="4">
        <f t="shared" si="0"/>
        <v>19576.323</v>
      </c>
    </row>
    <row r="25" spans="1:7" x14ac:dyDescent="0.25">
      <c r="A25" s="14" t="s">
        <v>29</v>
      </c>
      <c r="B25" s="14"/>
      <c r="C25" s="14"/>
      <c r="D25" s="14"/>
      <c r="E25" s="14"/>
    </row>
    <row r="26" spans="1:7" x14ac:dyDescent="0.25">
      <c r="A26" s="14" t="s">
        <v>16</v>
      </c>
      <c r="B26" s="14"/>
      <c r="C26" s="14"/>
      <c r="D26" s="14"/>
      <c r="E26" s="14"/>
    </row>
    <row r="27" spans="1:7" x14ac:dyDescent="0.25">
      <c r="A27" s="14" t="s">
        <v>31</v>
      </c>
      <c r="B27" s="14"/>
      <c r="C27" s="14"/>
      <c r="D27" s="14"/>
      <c r="E27" s="14"/>
    </row>
    <row r="29" spans="1:7" x14ac:dyDescent="0.25">
      <c r="B29" s="1" t="s">
        <v>7</v>
      </c>
      <c r="C29" s="1" t="s">
        <v>8</v>
      </c>
      <c r="D29" s="8" t="s">
        <v>20</v>
      </c>
      <c r="E29" s="8" t="s">
        <v>21</v>
      </c>
    </row>
    <row r="30" spans="1:7" x14ac:dyDescent="0.25">
      <c r="B30" s="1" t="s">
        <v>0</v>
      </c>
      <c r="C30" s="1" t="s">
        <v>17</v>
      </c>
      <c r="D30" s="1">
        <f>100701*0.38</f>
        <v>38266.379999999997</v>
      </c>
      <c r="E30" s="6" t="s">
        <v>24</v>
      </c>
      <c r="G30" s="5"/>
    </row>
    <row r="31" spans="1:7" x14ac:dyDescent="0.25">
      <c r="B31" s="1" t="s">
        <v>1</v>
      </c>
      <c r="C31" s="1" t="s">
        <v>18</v>
      </c>
      <c r="D31" s="1">
        <f>100701*0.37</f>
        <v>37259.370000000003</v>
      </c>
      <c r="E31" s="6" t="s">
        <v>25</v>
      </c>
      <c r="G31" s="5"/>
    </row>
    <row r="32" spans="1:7" x14ac:dyDescent="0.25">
      <c r="B32" s="1" t="s">
        <v>2</v>
      </c>
      <c r="C32" s="1" t="s">
        <v>19</v>
      </c>
      <c r="D32" s="1">
        <f>100701*0.25</f>
        <v>25175.25</v>
      </c>
      <c r="E32" s="6" t="s">
        <v>26</v>
      </c>
      <c r="G32" s="5"/>
    </row>
    <row r="35" spans="1:6" x14ac:dyDescent="0.25">
      <c r="A35" s="17" t="s">
        <v>27</v>
      </c>
      <c r="B35" s="17"/>
      <c r="C35" s="16"/>
    </row>
    <row r="37" spans="1:6" x14ac:dyDescent="0.25">
      <c r="B37" s="1" t="s">
        <v>7</v>
      </c>
      <c r="C37" s="1" t="s">
        <v>15</v>
      </c>
      <c r="D37" s="1" t="s">
        <v>22</v>
      </c>
      <c r="E37" s="8" t="s">
        <v>6</v>
      </c>
      <c r="F37" s="8" t="s">
        <v>23</v>
      </c>
    </row>
    <row r="38" spans="1:6" x14ac:dyDescent="0.25">
      <c r="B38" s="1" t="s">
        <v>0</v>
      </c>
      <c r="C38" s="3">
        <v>84065.308499999999</v>
      </c>
      <c r="D38" s="12">
        <f>C38/C$44</f>
        <v>0.16694653849200661</v>
      </c>
      <c r="E38" s="7">
        <v>24.435416</v>
      </c>
      <c r="F38" s="4">
        <f>C38*E38</f>
        <v>2054170.7843658361</v>
      </c>
    </row>
    <row r="39" spans="1:6" x14ac:dyDescent="0.25">
      <c r="B39" s="1" t="s">
        <v>1</v>
      </c>
      <c r="C39" s="3">
        <v>115403.54000000001</v>
      </c>
      <c r="D39" s="12">
        <f t="shared" ref="D39:D44" si="1">C39/C$44</f>
        <v>0.22918159555345977</v>
      </c>
      <c r="E39" s="7">
        <v>23.446666</v>
      </c>
      <c r="F39" s="4">
        <f>C39*E39</f>
        <v>2705828.2575976402</v>
      </c>
    </row>
    <row r="40" spans="1:6" x14ac:dyDescent="0.25">
      <c r="B40" s="1" t="s">
        <v>2</v>
      </c>
      <c r="C40" s="3">
        <v>77298.217000000004</v>
      </c>
      <c r="D40" s="12">
        <f t="shared" si="1"/>
        <v>0.1535076714760879</v>
      </c>
      <c r="E40" s="7">
        <v>16.989999999999998</v>
      </c>
      <c r="F40" s="4">
        <f t="shared" ref="F40:F43" si="2">C40*E40</f>
        <v>1313296.70683</v>
      </c>
    </row>
    <row r="41" spans="1:6" x14ac:dyDescent="0.25">
      <c r="B41" s="1" t="s">
        <v>3</v>
      </c>
      <c r="C41" s="3">
        <v>122049.91499999999</v>
      </c>
      <c r="D41" s="12">
        <f t="shared" si="1"/>
        <v>0.24238072988804452</v>
      </c>
      <c r="E41" s="7">
        <v>13.688750000000001</v>
      </c>
      <c r="F41" s="4">
        <f t="shared" si="2"/>
        <v>1670710.7739562499</v>
      </c>
    </row>
    <row r="42" spans="1:6" x14ac:dyDescent="0.25">
      <c r="B42" s="1" t="s">
        <v>4</v>
      </c>
      <c r="C42" s="3">
        <v>85152.976999999999</v>
      </c>
      <c r="D42" s="12">
        <f t="shared" si="1"/>
        <v>0.16910655544004163</v>
      </c>
      <c r="E42" s="7">
        <v>11.254583</v>
      </c>
      <c r="F42" s="4">
        <f t="shared" si="2"/>
        <v>958361.24734359107</v>
      </c>
    </row>
    <row r="43" spans="1:6" x14ac:dyDescent="0.25">
      <c r="B43" s="1" t="s">
        <v>5</v>
      </c>
      <c r="C43" s="3">
        <v>19576.323</v>
      </c>
      <c r="D43" s="12">
        <f t="shared" si="1"/>
        <v>3.8876909150359615E-2</v>
      </c>
      <c r="E43" s="7">
        <v>5.4054159999999998</v>
      </c>
      <c r="F43" s="4">
        <f t="shared" si="2"/>
        <v>105818.16956536799</v>
      </c>
    </row>
    <row r="44" spans="1:6" x14ac:dyDescent="0.25">
      <c r="B44" s="8" t="s">
        <v>9</v>
      </c>
      <c r="C44" s="7">
        <v>503546.28049999999</v>
      </c>
      <c r="D44" s="9">
        <f t="shared" si="1"/>
        <v>1</v>
      </c>
      <c r="E44" s="1"/>
      <c r="F44" s="4">
        <f>SUM(F38:F43)</f>
        <v>8808185.9396586865</v>
      </c>
    </row>
  </sheetData>
  <mergeCells count="1">
    <mergeCell ref="A35:B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Bosso</dc:creator>
  <cp:lastModifiedBy>Junior Bosso</cp:lastModifiedBy>
  <dcterms:created xsi:type="dcterms:W3CDTF">2026-05-07T16:22:04Z</dcterms:created>
  <dcterms:modified xsi:type="dcterms:W3CDTF">2026-05-20T12:25:31Z</dcterms:modified>
</cp:coreProperties>
</file>